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E:\Ane Oliveira\Documents\Excel com AI - Santander\"/>
    </mc:Choice>
  </mc:AlternateContent>
  <xr:revisionPtr revIDLastSave="0" documentId="13_ncr:1_{B3BA2D8C-EB64-4C3D-A07F-AE8FD6680F38}" xr6:coauthVersionLast="47" xr6:coauthVersionMax="47" xr10:uidLastSave="{00000000-0000-0000-0000-000000000000}"/>
  <bookViews>
    <workbookView xWindow="-120" yWindow="-120" windowWidth="29040" windowHeight="15720" xr2:uid="{7D66ED48-4787-48AD-B2F6-C0CB28066899}"/>
  </bookViews>
  <sheets>
    <sheet name="Simulador" sheetId="1" r:id="rId1"/>
    <sheet name="Chave Composta" sheetId="2" r:id="rId2"/>
  </sheets>
  <definedNames>
    <definedName name="Estimativa">Simulador!$D$22</definedName>
    <definedName name="Perfil_invet">Simulador!$I$17</definedName>
    <definedName name="Período">Simulador!$D$19</definedName>
    <definedName name="QTD.Acumulada">Simulador!$D$21</definedName>
    <definedName name="Red.Cart">Simulador!$D$13</definedName>
    <definedName name="Tx.Mensal">Simulador!$D$20</definedName>
    <definedName name="V.Aplicado">Simulador!$D$18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7" i="1" l="1"/>
  <c r="C28" i="1"/>
  <c r="C29" i="1"/>
  <c r="C30" i="1"/>
  <c r="C31" i="1"/>
  <c r="C26" i="1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  <c r="I18" i="1"/>
  <c r="D14" i="1"/>
  <c r="H11" i="1"/>
  <c r="I11" i="1" s="1"/>
  <c r="H12" i="1"/>
  <c r="I12" i="1" s="1"/>
  <c r="H13" i="1"/>
  <c r="I13" i="1" s="1"/>
  <c r="H14" i="1"/>
  <c r="I14" i="1" s="1"/>
  <c r="H10" i="1"/>
  <c r="I10" i="1" s="1"/>
  <c r="D21" i="1"/>
  <c r="D22" i="1" s="1"/>
  <c r="D27" i="1" l="1"/>
  <c r="G5" i="2"/>
  <c r="D26" i="1"/>
  <c r="D28" i="1"/>
  <c r="D31" i="1"/>
  <c r="D30" i="1"/>
  <c r="D29" i="1"/>
</calcChain>
</file>

<file path=xl/sharedStrings.xml><?xml version="1.0" encoding="utf-8"?>
<sst xmlns="http://schemas.openxmlformats.org/spreadsheetml/2006/main" count="72" uniqueCount="37">
  <si>
    <t>Dividendo</t>
  </si>
  <si>
    <t>Valor Aplicado</t>
  </si>
  <si>
    <t>Taxa mensal %</t>
  </si>
  <si>
    <t>Quantia Acumulada</t>
  </si>
  <si>
    <t xml:space="preserve">Período </t>
  </si>
  <si>
    <t xml:space="preserve">Período de </t>
  </si>
  <si>
    <t xml:space="preserve">Período estimado </t>
  </si>
  <si>
    <t>Salário</t>
  </si>
  <si>
    <t>Rendimento Carteira</t>
  </si>
  <si>
    <t>Sugestão de Investimento</t>
  </si>
  <si>
    <t>Estimativa Mensal</t>
  </si>
  <si>
    <t>Cliente: Rita Terra</t>
  </si>
  <si>
    <t>Perfil de investimento</t>
  </si>
  <si>
    <t>Médio</t>
  </si>
  <si>
    <t>Sugestão de valor aplicado</t>
  </si>
  <si>
    <t>TIPO DE FII</t>
  </si>
  <si>
    <t>PAPEL</t>
  </si>
  <si>
    <t>TIJOLO</t>
  </si>
  <si>
    <t>HÍBRIDOS</t>
  </si>
  <si>
    <t>FOFs</t>
  </si>
  <si>
    <t>DESENVOLVIMENTO</t>
  </si>
  <si>
    <t>HOTELARIAS</t>
  </si>
  <si>
    <t>Papel</t>
  </si>
  <si>
    <t>Tijolo</t>
  </si>
  <si>
    <t>Desenvolvimento</t>
  </si>
  <si>
    <t>Valores</t>
  </si>
  <si>
    <t>%Sugerido</t>
  </si>
  <si>
    <t>CHAVE</t>
  </si>
  <si>
    <t>PERFIL</t>
  </si>
  <si>
    <t>%</t>
  </si>
  <si>
    <r>
      <t xml:space="preserve">Invest Ment </t>
    </r>
    <r>
      <rPr>
        <b/>
        <sz val="12"/>
        <color theme="7" tint="0.39997558519241921"/>
        <rFont val="Arial"/>
        <family val="2"/>
      </rPr>
      <t>Mensal</t>
    </r>
  </si>
  <si>
    <t>Híbridos</t>
  </si>
  <si>
    <t xml:space="preserve">Projeção de investimento sugerida </t>
  </si>
  <si>
    <t>Alto</t>
  </si>
  <si>
    <t>Baixo</t>
  </si>
  <si>
    <t>Alto-Papel</t>
  </si>
  <si>
    <t>Hotelarias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</si>
</sst>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R$&quot;\ #,##0;[Red]\-&quot;R$&quot;\ #,##0"/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#\ &quot;anos&quot;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b/>
      <sz val="12"/>
      <color theme="7" tint="0.3999755851924192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0" applyFont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9" fontId="2" fillId="0" borderId="0" xfId="2" applyFont="1" applyBorder="1" applyAlignment="1">
      <alignment horizontal="center" vertical="center"/>
    </xf>
    <xf numFmtId="0" fontId="2" fillId="0" borderId="0" xfId="0" applyFont="1" applyBorder="1" applyAlignment="1">
      <alignment horizontal="right" vertical="center"/>
    </xf>
    <xf numFmtId="164" fontId="2" fillId="0" borderId="0" xfId="0" applyNumberFormat="1" applyFont="1" applyBorder="1" applyAlignment="1">
      <alignment horizontal="left" vertical="center"/>
    </xf>
    <xf numFmtId="8" fontId="2" fillId="0" borderId="0" xfId="0" applyNumberFormat="1" applyFont="1" applyBorder="1" applyAlignment="1">
      <alignment horizontal="center" vertical="center"/>
    </xf>
    <xf numFmtId="44" fontId="2" fillId="0" borderId="0" xfId="1" applyFont="1" applyBorder="1" applyAlignment="1">
      <alignment horizontal="center" vertical="center"/>
    </xf>
    <xf numFmtId="10" fontId="2" fillId="0" borderId="0" xfId="0" applyNumberFormat="1" applyFont="1" applyBorder="1" applyAlignment="1">
      <alignment horizontal="center" vertical="center"/>
    </xf>
    <xf numFmtId="9" fontId="2" fillId="0" borderId="0" xfId="2" applyFont="1" applyBorder="1" applyAlignment="1">
      <alignment horizontal="left" vertical="center"/>
    </xf>
    <xf numFmtId="10" fontId="2" fillId="0" borderId="0" xfId="2" applyNumberFormat="1" applyFont="1" applyBorder="1" applyAlignment="1">
      <alignment horizontal="center" vertical="center"/>
    </xf>
    <xf numFmtId="6" fontId="2" fillId="0" borderId="0" xfId="1" applyNumberFormat="1" applyFont="1" applyBorder="1" applyAlignment="1">
      <alignment horizontal="center" vertical="center"/>
    </xf>
    <xf numFmtId="44" fontId="2" fillId="0" borderId="0" xfId="0" applyNumberFormat="1" applyFont="1" applyBorder="1" applyAlignment="1">
      <alignment horizontal="center" vertical="center"/>
    </xf>
    <xf numFmtId="9" fontId="2" fillId="3" borderId="1" xfId="2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center" vertical="center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pt-BR">
                <a:solidFill>
                  <a:sysClr val="windowText" lastClr="000000"/>
                </a:solidFill>
              </a:rPr>
              <a:t>Perfil de investimento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Simulador!$C$25</c:f>
              <c:strCache>
                <c:ptCount val="1"/>
                <c:pt idx="0">
                  <c:v>%Sugerido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864-4A74-9A62-453305CE4D7A}"/>
              </c:ext>
            </c:extLst>
          </c:dPt>
          <c:dPt>
            <c:idx val="1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C5A-404F-971A-3D037C33B90D}"/>
              </c:ext>
            </c:extLst>
          </c:dPt>
          <c:dPt>
            <c:idx val="2"/>
            <c:bubble3D val="0"/>
            <c:spPr>
              <a:solidFill>
                <a:schemeClr val="accent5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2C5A-404F-971A-3D037C33B90D}"/>
              </c:ext>
            </c:extLst>
          </c:dPt>
          <c:dPt>
            <c:idx val="3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C5A-404F-971A-3D037C33B90D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864-4A74-9A62-453305CE4D7A}"/>
              </c:ext>
            </c:extLst>
          </c:dPt>
          <c:dPt>
            <c:idx val="5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2C5A-404F-971A-3D037C33B90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Simulador!$B$26:$B$31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Simulador!$C$26:$C$31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5A-404F-971A-3D037C33B90D}"/>
            </c:ext>
          </c:extLst>
        </c:ser>
        <c:ser>
          <c:idx val="1"/>
          <c:order val="1"/>
          <c:tx>
            <c:strRef>
              <c:f>Simulador!$D$25</c:f>
              <c:strCache>
                <c:ptCount val="1"/>
                <c:pt idx="0">
                  <c:v>Valores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7864-4A74-9A62-453305CE4D7A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7864-4A74-9A62-453305CE4D7A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7864-4A74-9A62-453305CE4D7A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7864-4A74-9A62-453305CE4D7A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7864-4A74-9A62-453305CE4D7A}"/>
              </c:ext>
            </c:extLst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7864-4A74-9A62-453305CE4D7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Simulador!$B$26:$B$31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Simulador!$D$26:$D$31</c:f>
              <c:numCache>
                <c:formatCode>_("R$"* #,##0.00_);_("R$"* \(#,##0.00\);_("R$"* "-"??_);_(@_)</c:formatCode>
                <c:ptCount val="6"/>
                <c:pt idx="0">
                  <c:v>112</c:v>
                </c:pt>
                <c:pt idx="1">
                  <c:v>122.49999999999999</c:v>
                </c:pt>
                <c:pt idx="2">
                  <c:v>28</c:v>
                </c:pt>
                <c:pt idx="3">
                  <c:v>17.5</c:v>
                </c:pt>
                <c:pt idx="4">
                  <c:v>35</c:v>
                </c:pt>
                <c:pt idx="5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5A-404F-971A-3D037C33B90D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10584</xdr:colOff>
      <xdr:row>18</xdr:row>
      <xdr:rowOff>152402</xdr:rowOff>
    </xdr:from>
    <xdr:to>
      <xdr:col>8</xdr:col>
      <xdr:colOff>878415</xdr:colOff>
      <xdr:row>30</xdr:row>
      <xdr:rowOff>158752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4736C25-7CBC-4C7B-B343-79D45014C9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592665</xdr:colOff>
      <xdr:row>1</xdr:row>
      <xdr:rowOff>1</xdr:rowOff>
    </xdr:from>
    <xdr:to>
      <xdr:col>9</xdr:col>
      <xdr:colOff>21165</xdr:colOff>
      <xdr:row>7</xdr:row>
      <xdr:rowOff>84667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DFF52B3-7B5A-481E-98E8-1BDAC27BAE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0443"/>
        <a:stretch/>
      </xdr:blipFill>
      <xdr:spPr>
        <a:xfrm>
          <a:off x="592665" y="222251"/>
          <a:ext cx="8752417" cy="14181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37F25-7DF5-41A5-9503-6DF94502398C}">
  <dimension ref="B9:I31"/>
  <sheetViews>
    <sheetView showGridLines="0" tabSelected="1" topLeftCell="A2" zoomScale="90" zoomScaleNormal="90" workbookViewId="0">
      <selection activeCell="L9" sqref="L9"/>
    </sheetView>
  </sheetViews>
  <sheetFormatPr defaultRowHeight="17.25" customHeight="1" x14ac:dyDescent="0.25"/>
  <cols>
    <col min="1" max="1" width="9.140625" style="1"/>
    <col min="2" max="2" width="27.42578125" style="1" bestFit="1" customWidth="1"/>
    <col min="3" max="3" width="13.7109375" style="1" bestFit="1" customWidth="1"/>
    <col min="4" max="4" width="23.5703125" style="1" customWidth="1"/>
    <col min="5" max="5" width="7.140625" style="1" customWidth="1"/>
    <col min="6" max="7" width="14.28515625" style="1" customWidth="1"/>
    <col min="8" max="8" width="16.28515625" style="1" bestFit="1" customWidth="1"/>
    <col min="9" max="9" width="13.85546875" style="1" bestFit="1" customWidth="1"/>
    <col min="10" max="16384" width="9.140625" style="1"/>
  </cols>
  <sheetData>
    <row r="9" spans="2:9" ht="17.25" customHeight="1" x14ac:dyDescent="0.25">
      <c r="B9" s="17" t="s">
        <v>11</v>
      </c>
      <c r="C9" s="17"/>
      <c r="D9" s="17"/>
      <c r="F9" s="18" t="s">
        <v>6</v>
      </c>
      <c r="G9" s="18"/>
      <c r="H9" s="18"/>
      <c r="I9" s="2" t="s">
        <v>0</v>
      </c>
    </row>
    <row r="10" spans="2:9" ht="17.25" customHeight="1" x14ac:dyDescent="0.25">
      <c r="F10" s="5" t="s">
        <v>5</v>
      </c>
      <c r="G10" s="6">
        <v>2</v>
      </c>
      <c r="H10" s="7">
        <f>ABS(FV($D$20,G10*12,$D$18))</f>
        <v>10379.066703488692</v>
      </c>
      <c r="I10" s="7">
        <f>(H10*$D$13)</f>
        <v>101.71485369418917</v>
      </c>
    </row>
    <row r="11" spans="2:9" ht="17.25" customHeight="1" x14ac:dyDescent="0.25">
      <c r="B11" s="18" t="s">
        <v>32</v>
      </c>
      <c r="C11" s="18"/>
      <c r="D11" s="18"/>
      <c r="F11" s="5" t="s">
        <v>5</v>
      </c>
      <c r="G11" s="6">
        <v>4</v>
      </c>
      <c r="H11" s="7">
        <f>ABS(FV($D$20,G11*12,$D$18))</f>
        <v>26267.499003762736</v>
      </c>
      <c r="I11" s="7">
        <f>(H11*$D$13)</f>
        <v>257.42149023687477</v>
      </c>
    </row>
    <row r="12" spans="2:9" ht="17.25" customHeight="1" x14ac:dyDescent="0.25">
      <c r="B12" s="3" t="s">
        <v>7</v>
      </c>
      <c r="C12" s="3"/>
      <c r="D12" s="8">
        <v>2200</v>
      </c>
      <c r="F12" s="5" t="s">
        <v>5</v>
      </c>
      <c r="G12" s="6">
        <v>6</v>
      </c>
      <c r="H12" s="7">
        <f>ABS(FV($D$20,G12*12,$D$18))</f>
        <v>50589.751492566807</v>
      </c>
      <c r="I12" s="7">
        <f>(H12*$D$13)</f>
        <v>495.77956462715468</v>
      </c>
    </row>
    <row r="13" spans="2:9" ht="17.25" customHeight="1" x14ac:dyDescent="0.25">
      <c r="B13" s="3" t="s">
        <v>8</v>
      </c>
      <c r="C13" s="3"/>
      <c r="D13" s="9">
        <v>9.7999999999999997E-3</v>
      </c>
      <c r="F13" s="5" t="s">
        <v>5</v>
      </c>
      <c r="G13" s="6">
        <v>8</v>
      </c>
      <c r="H13" s="7">
        <f>ABS(FV($D$20,G13*12,$D$18))</f>
        <v>87822.623493345192</v>
      </c>
      <c r="I13" s="7">
        <f>(H13*$D$13)</f>
        <v>860.66171023478284</v>
      </c>
    </row>
    <row r="14" spans="2:9" ht="17.25" customHeight="1" x14ac:dyDescent="0.25">
      <c r="B14" s="3" t="s">
        <v>9</v>
      </c>
      <c r="C14" s="10">
        <v>0.3</v>
      </c>
      <c r="D14" s="8">
        <f>(D12*C14)</f>
        <v>660</v>
      </c>
      <c r="F14" s="5" t="s">
        <v>5</v>
      </c>
      <c r="G14" s="6">
        <v>10</v>
      </c>
      <c r="H14" s="7">
        <f>ABS(FV($D$20,G14*12,$D$18))</f>
        <v>144819.26712511724</v>
      </c>
      <c r="I14" s="7">
        <f>(H14*$D$13)</f>
        <v>1419.228817826149</v>
      </c>
    </row>
    <row r="15" spans="2:9" ht="17.25" customHeight="1" x14ac:dyDescent="0.25">
      <c r="F15" s="3"/>
    </row>
    <row r="17" spans="2:9" ht="17.25" customHeight="1" x14ac:dyDescent="0.25">
      <c r="B17" s="18" t="s">
        <v>30</v>
      </c>
      <c r="C17" s="18"/>
      <c r="D17" s="18"/>
      <c r="F17" s="18" t="s">
        <v>12</v>
      </c>
      <c r="G17" s="18"/>
      <c r="H17" s="18"/>
      <c r="I17" s="2" t="s">
        <v>13</v>
      </c>
    </row>
    <row r="18" spans="2:9" ht="17.25" customHeight="1" x14ac:dyDescent="0.25">
      <c r="B18" s="16" t="s">
        <v>1</v>
      </c>
      <c r="C18" s="16"/>
      <c r="D18" s="8">
        <v>350</v>
      </c>
      <c r="F18" s="16" t="s">
        <v>14</v>
      </c>
      <c r="G18" s="16"/>
      <c r="H18" s="16"/>
      <c r="I18" s="8">
        <f>V.Aplicado</f>
        <v>350</v>
      </c>
    </row>
    <row r="19" spans="2:9" ht="17.25" customHeight="1" x14ac:dyDescent="0.25">
      <c r="B19" s="16" t="s">
        <v>4</v>
      </c>
      <c r="C19" s="16"/>
      <c r="D19" s="1">
        <v>36</v>
      </c>
    </row>
    <row r="20" spans="2:9" ht="17.25" customHeight="1" x14ac:dyDescent="0.25">
      <c r="B20" s="16" t="s">
        <v>2</v>
      </c>
      <c r="C20" s="16"/>
      <c r="D20" s="11">
        <v>1.7899999999999999E-2</v>
      </c>
    </row>
    <row r="21" spans="2:9" ht="17.25" customHeight="1" x14ac:dyDescent="0.25">
      <c r="B21" s="16" t="s">
        <v>3</v>
      </c>
      <c r="C21" s="16"/>
      <c r="D21" s="12">
        <f>ABS(FV(D20,D19,D18))</f>
        <v>17480.800168758677</v>
      </c>
    </row>
    <row r="22" spans="2:9" ht="17.25" customHeight="1" x14ac:dyDescent="0.25">
      <c r="B22" s="16" t="s">
        <v>10</v>
      </c>
      <c r="C22" s="16"/>
      <c r="D22" s="8">
        <f>(D21*D13)</f>
        <v>171.31184165383502</v>
      </c>
    </row>
    <row r="23" spans="2:9" ht="17.25" customHeight="1" x14ac:dyDescent="0.25">
      <c r="C23" s="16"/>
      <c r="D23" s="16"/>
    </row>
    <row r="25" spans="2:9" ht="17.25" customHeight="1" x14ac:dyDescent="0.25">
      <c r="B25" s="2" t="s">
        <v>15</v>
      </c>
      <c r="C25" s="2" t="s">
        <v>26</v>
      </c>
      <c r="D25" s="2" t="s">
        <v>25</v>
      </c>
    </row>
    <row r="26" spans="2:9" ht="17.25" customHeight="1" x14ac:dyDescent="0.25">
      <c r="B26" s="1" t="s">
        <v>22</v>
      </c>
      <c r="C26" s="4">
        <f>VLOOKUP(Perfil_invet&amp;"-"&amp;B26,'Chave Composta'!$A$1:$D$19,4,FALSE)</f>
        <v>0.32</v>
      </c>
      <c r="D26" s="13">
        <f t="shared" ref="D26:D31" si="0">(C26*$I$18)</f>
        <v>112</v>
      </c>
    </row>
    <row r="27" spans="2:9" ht="17.25" customHeight="1" x14ac:dyDescent="0.25">
      <c r="B27" s="1" t="s">
        <v>23</v>
      </c>
      <c r="C27" s="4">
        <f>VLOOKUP(Perfil_invet&amp;"-"&amp;B27,'Chave Composta'!$A$1:$D$19,4,FALSE)</f>
        <v>0.35</v>
      </c>
      <c r="D27" s="13">
        <f t="shared" si="0"/>
        <v>122.49999999999999</v>
      </c>
    </row>
    <row r="28" spans="2:9" ht="17.25" customHeight="1" x14ac:dyDescent="0.25">
      <c r="B28" s="1" t="s">
        <v>31</v>
      </c>
      <c r="C28" s="4">
        <f>VLOOKUP(Perfil_invet&amp;"-"&amp;B28,'Chave Composta'!$A$1:$D$19,4,FALSE)</f>
        <v>0.08</v>
      </c>
      <c r="D28" s="13">
        <f t="shared" si="0"/>
        <v>28</v>
      </c>
    </row>
    <row r="29" spans="2:9" ht="17.25" customHeight="1" x14ac:dyDescent="0.25">
      <c r="B29" s="1" t="s">
        <v>19</v>
      </c>
      <c r="C29" s="4">
        <f>VLOOKUP(Perfil_invet&amp;"-"&amp;B29,'Chave Composta'!$A$1:$D$19,4,FALSE)</f>
        <v>0.05</v>
      </c>
      <c r="D29" s="13">
        <f t="shared" si="0"/>
        <v>17.5</v>
      </c>
    </row>
    <row r="30" spans="2:9" ht="17.25" customHeight="1" x14ac:dyDescent="0.25">
      <c r="B30" s="1" t="s">
        <v>24</v>
      </c>
      <c r="C30" s="4">
        <f>VLOOKUP(Perfil_invet&amp;"-"&amp;B30,'Chave Composta'!$A$1:$D$19,4,FALSE)</f>
        <v>0.1</v>
      </c>
      <c r="D30" s="13">
        <f t="shared" si="0"/>
        <v>35</v>
      </c>
    </row>
    <row r="31" spans="2:9" ht="17.25" customHeight="1" x14ac:dyDescent="0.25">
      <c r="B31" s="1" t="s">
        <v>36</v>
      </c>
      <c r="C31" s="4">
        <f>VLOOKUP(Perfil_invet&amp;"-"&amp;B31,'Chave Composta'!$A$1:$D$19,4,FALSE)</f>
        <v>0.1</v>
      </c>
      <c r="D31" s="13">
        <f t="shared" si="0"/>
        <v>35</v>
      </c>
    </row>
  </sheetData>
  <mergeCells count="12">
    <mergeCell ref="C23:D23"/>
    <mergeCell ref="F18:H18"/>
    <mergeCell ref="B9:D9"/>
    <mergeCell ref="F17:H17"/>
    <mergeCell ref="B17:D17"/>
    <mergeCell ref="F9:H9"/>
    <mergeCell ref="B11:D11"/>
    <mergeCell ref="B18:C18"/>
    <mergeCell ref="B19:C19"/>
    <mergeCell ref="B20:C20"/>
    <mergeCell ref="B21:C21"/>
    <mergeCell ref="B22:C22"/>
  </mergeCells>
  <dataValidations count="2">
    <dataValidation type="list" allowBlank="1" showInputMessage="1" showErrorMessage="1" sqref="C14" xr:uid="{05D393B2-2A3B-4AF3-A70B-FCCB54442EC6}">
      <formula1>"5%,10%,15%,20%,25%,30%,"</formula1>
    </dataValidation>
    <dataValidation type="list" allowBlank="1" showInputMessage="1" showErrorMessage="1" sqref="I17" xr:uid="{7FB26279-72BC-4B86-BE2F-29182EE0A411}">
      <formula1>"Baixo,Médio,Alto"</formula1>
    </dataValidation>
  </dataValidations>
  <printOptions horizontalCentered="1" verticalCentered="1"/>
  <pageMargins left="0.25" right="0.25" top="0.75" bottom="0.75" header="0.3" footer="0.3"/>
  <pageSetup paperSize="9" scale="95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10EE2-59E5-4C3D-BDC1-53ACABFF47BF}">
  <dimension ref="A1:G19"/>
  <sheetViews>
    <sheetView workbookViewId="0">
      <selection activeCell="C31" sqref="C31"/>
    </sheetView>
  </sheetViews>
  <sheetFormatPr defaultRowHeight="15" x14ac:dyDescent="0.25"/>
  <cols>
    <col min="1" max="1" width="38.42578125" style="1" bestFit="1" customWidth="1"/>
    <col min="2" max="2" width="14.28515625" style="1" bestFit="1" customWidth="1"/>
    <col min="3" max="3" width="24.28515625" style="1" bestFit="1" customWidth="1"/>
    <col min="4" max="4" width="6.42578125" style="1" bestFit="1" customWidth="1"/>
    <col min="5" max="5" width="9.140625" style="1"/>
    <col min="6" max="6" width="14.7109375" style="1" customWidth="1"/>
    <col min="7" max="7" width="7" style="1" customWidth="1"/>
    <col min="8" max="16384" width="9.140625" style="1"/>
  </cols>
  <sheetData>
    <row r="1" spans="1:7" x14ac:dyDescent="0.25">
      <c r="A1" s="1" t="s">
        <v>27</v>
      </c>
      <c r="B1" s="1" t="s">
        <v>28</v>
      </c>
      <c r="C1" s="1" t="s">
        <v>15</v>
      </c>
      <c r="D1" s="1" t="s">
        <v>29</v>
      </c>
    </row>
    <row r="2" spans="1:7" x14ac:dyDescent="0.25">
      <c r="A2" s="1" t="str">
        <f>B2&amp;"-"&amp;C2</f>
        <v>Baixo-PAPEL</v>
      </c>
      <c r="B2" s="1" t="s">
        <v>34</v>
      </c>
      <c r="C2" s="1" t="s">
        <v>16</v>
      </c>
      <c r="D2" s="4">
        <v>0.3</v>
      </c>
    </row>
    <row r="3" spans="1:7" x14ac:dyDescent="0.25">
      <c r="A3" s="1" t="str">
        <f t="shared" ref="A3:A19" si="0">B3&amp;"-"&amp;C3</f>
        <v>Baixo-TIJOLO</v>
      </c>
      <c r="B3" s="1" t="s">
        <v>34</v>
      </c>
      <c r="C3" s="1" t="s">
        <v>17</v>
      </c>
      <c r="D3" s="4">
        <v>0.5</v>
      </c>
    </row>
    <row r="4" spans="1:7" x14ac:dyDescent="0.25">
      <c r="A4" s="1" t="str">
        <f t="shared" si="0"/>
        <v>Baixo-HÍBRIDOS</v>
      </c>
      <c r="B4" s="1" t="s">
        <v>34</v>
      </c>
      <c r="C4" s="1" t="s">
        <v>18</v>
      </c>
      <c r="D4" s="4">
        <v>0.1</v>
      </c>
      <c r="G4" s="1" t="s">
        <v>29</v>
      </c>
    </row>
    <row r="5" spans="1:7" ht="15.75" x14ac:dyDescent="0.25">
      <c r="A5" s="1" t="str">
        <f t="shared" si="0"/>
        <v>Baixo-FOFs</v>
      </c>
      <c r="B5" s="1" t="s">
        <v>34</v>
      </c>
      <c r="C5" s="1" t="s">
        <v>19</v>
      </c>
      <c r="D5" s="4">
        <v>0.1</v>
      </c>
      <c r="F5" s="15" t="s">
        <v>35</v>
      </c>
      <c r="G5" s="14">
        <f>VLOOKUP(F5,A1:D19,4,FALSE)</f>
        <v>0.5</v>
      </c>
    </row>
    <row r="6" spans="1:7" x14ac:dyDescent="0.25">
      <c r="A6" s="1" t="str">
        <f t="shared" si="0"/>
        <v>Baixo-DESENVOLVIMENTO</v>
      </c>
      <c r="B6" s="1" t="s">
        <v>34</v>
      </c>
      <c r="C6" s="1" t="s">
        <v>20</v>
      </c>
      <c r="D6" s="4">
        <v>0</v>
      </c>
    </row>
    <row r="7" spans="1:7" x14ac:dyDescent="0.25">
      <c r="A7" s="1" t="str">
        <f t="shared" si="0"/>
        <v>Baixo-HOTELARIAS</v>
      </c>
      <c r="B7" s="1" t="s">
        <v>34</v>
      </c>
      <c r="C7" s="1" t="s">
        <v>21</v>
      </c>
      <c r="D7" s="4">
        <v>0</v>
      </c>
    </row>
    <row r="8" spans="1:7" x14ac:dyDescent="0.25">
      <c r="A8" s="1" t="str">
        <f t="shared" si="0"/>
        <v>Médio-PAPEL</v>
      </c>
      <c r="B8" s="1" t="s">
        <v>13</v>
      </c>
      <c r="C8" s="1" t="s">
        <v>16</v>
      </c>
      <c r="D8" s="4">
        <v>0.32</v>
      </c>
    </row>
    <row r="9" spans="1:7" x14ac:dyDescent="0.25">
      <c r="A9" s="1" t="str">
        <f t="shared" si="0"/>
        <v>Médio-TIJOLO</v>
      </c>
      <c r="B9" s="1" t="s">
        <v>13</v>
      </c>
      <c r="C9" s="1" t="s">
        <v>17</v>
      </c>
      <c r="D9" s="4">
        <v>0.35</v>
      </c>
    </row>
    <row r="10" spans="1:7" x14ac:dyDescent="0.25">
      <c r="A10" s="1" t="str">
        <f t="shared" si="0"/>
        <v>Médio-HÍBRIDOS</v>
      </c>
      <c r="B10" s="1" t="s">
        <v>13</v>
      </c>
      <c r="C10" s="1" t="s">
        <v>18</v>
      </c>
      <c r="D10" s="4">
        <v>0.08</v>
      </c>
    </row>
    <row r="11" spans="1:7" x14ac:dyDescent="0.25">
      <c r="A11" s="1" t="str">
        <f t="shared" si="0"/>
        <v>Médio-FOFs</v>
      </c>
      <c r="B11" s="1" t="s">
        <v>13</v>
      </c>
      <c r="C11" s="1" t="s">
        <v>19</v>
      </c>
      <c r="D11" s="4">
        <v>0.05</v>
      </c>
    </row>
    <row r="12" spans="1:7" x14ac:dyDescent="0.25">
      <c r="A12" s="1" t="str">
        <f t="shared" si="0"/>
        <v>Médio-DESENVOLVIMENTO</v>
      </c>
      <c r="B12" s="1" t="s">
        <v>13</v>
      </c>
      <c r="C12" s="1" t="s">
        <v>20</v>
      </c>
      <c r="D12" s="4">
        <v>0.1</v>
      </c>
    </row>
    <row r="13" spans="1:7" x14ac:dyDescent="0.25">
      <c r="A13" s="1" t="str">
        <f t="shared" si="0"/>
        <v>Médio-HOTELARIAS</v>
      </c>
      <c r="B13" s="1" t="s">
        <v>13</v>
      </c>
      <c r="C13" s="1" t="s">
        <v>21</v>
      </c>
      <c r="D13" s="4">
        <v>0.1</v>
      </c>
    </row>
    <row r="14" spans="1:7" x14ac:dyDescent="0.25">
      <c r="A14" s="1" t="str">
        <f t="shared" si="0"/>
        <v>Alto-PAPEL</v>
      </c>
      <c r="B14" s="1" t="s">
        <v>33</v>
      </c>
      <c r="C14" s="1" t="s">
        <v>16</v>
      </c>
      <c r="D14" s="4">
        <v>0.5</v>
      </c>
    </row>
    <row r="15" spans="1:7" x14ac:dyDescent="0.25">
      <c r="A15" s="1" t="str">
        <f t="shared" si="0"/>
        <v>Alto-TIJOLO</v>
      </c>
      <c r="B15" s="1" t="s">
        <v>33</v>
      </c>
      <c r="C15" s="1" t="s">
        <v>17</v>
      </c>
      <c r="D15" s="4">
        <v>0.1</v>
      </c>
    </row>
    <row r="16" spans="1:7" x14ac:dyDescent="0.25">
      <c r="A16" s="1" t="str">
        <f t="shared" si="0"/>
        <v>Alto-HÍBRIDOS</v>
      </c>
      <c r="B16" s="1" t="s">
        <v>33</v>
      </c>
      <c r="C16" s="1" t="s">
        <v>18</v>
      </c>
      <c r="D16" s="4">
        <v>0.05</v>
      </c>
    </row>
    <row r="17" spans="1:4" x14ac:dyDescent="0.25">
      <c r="A17" s="1" t="str">
        <f t="shared" si="0"/>
        <v>Alto-FOFs</v>
      </c>
      <c r="B17" s="1" t="s">
        <v>33</v>
      </c>
      <c r="C17" s="1" t="s">
        <v>19</v>
      </c>
      <c r="D17" s="4">
        <v>0.05</v>
      </c>
    </row>
    <row r="18" spans="1:4" x14ac:dyDescent="0.25">
      <c r="A18" s="1" t="str">
        <f t="shared" si="0"/>
        <v>Alto-DESENVOLVIMENTO</v>
      </c>
      <c r="B18" s="1" t="s">
        <v>33</v>
      </c>
      <c r="C18" s="1" t="s">
        <v>20</v>
      </c>
      <c r="D18" s="4">
        <v>0.2</v>
      </c>
    </row>
    <row r="19" spans="1:4" x14ac:dyDescent="0.25">
      <c r="A19" s="1" t="str">
        <f t="shared" si="0"/>
        <v>Alto-HOTELARIAS</v>
      </c>
      <c r="B19" s="1" t="s">
        <v>33</v>
      </c>
      <c r="C19" s="1" t="s">
        <v>21</v>
      </c>
      <c r="D19" s="4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Simulador</vt:lpstr>
      <vt:lpstr>Chave Composta</vt:lpstr>
      <vt:lpstr>Estimativa</vt:lpstr>
      <vt:lpstr>Perfil_invet</vt:lpstr>
      <vt:lpstr>Período</vt:lpstr>
      <vt:lpstr>QTD.Acumulada</vt:lpstr>
      <vt:lpstr>Red.Cart</vt:lpstr>
      <vt:lpstr>Tx.Mensal</vt:lpstr>
      <vt:lpstr>V.Aplicado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Ane Oliveira</dc:creator>
  <cp:lastModifiedBy>Ane Oliveira</cp:lastModifiedBy>
  <cp:lastPrinted>2025-12-28T18:37:45Z</cp:lastPrinted>
  <dcterms:created xsi:type="dcterms:W3CDTF">2025-12-23T21:17:50Z</dcterms:created>
  <dcterms:modified xsi:type="dcterms:W3CDTF">2025-12-29T20:22:17Z</dcterms:modified>
</cp:coreProperties>
</file>